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bcafb606cc47e2e/Documents/Studies/Coding/Python/"/>
    </mc:Choice>
  </mc:AlternateContent>
  <xr:revisionPtr revIDLastSave="268" documentId="11_F25DC773A252ABDACC10489E81DF7D3E5BDE58F0" xr6:coauthVersionLast="47" xr6:coauthVersionMax="47" xr10:uidLastSave="{7C078192-919C-4F62-A8BF-BDEAF7157D7D}"/>
  <bookViews>
    <workbookView xWindow="-110" yWindow="-110" windowWidth="19420" windowHeight="11500" activeTab="1" xr2:uid="{00000000-000D-0000-FFFF-FFFF00000000}"/>
  </bookViews>
  <sheets>
    <sheet name="101825" sheetId="1" r:id="rId1"/>
    <sheet name="Cal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2" l="1"/>
  <c r="I13" i="2" s="1"/>
  <c r="H10" i="2"/>
  <c r="H13" i="2" s="1"/>
  <c r="I12" i="2"/>
  <c r="N3" i="2"/>
  <c r="O3" i="2" s="1"/>
  <c r="N4" i="2"/>
  <c r="O4" i="2" s="1"/>
  <c r="N5" i="2"/>
  <c r="O5" i="2" s="1"/>
  <c r="N2" i="2"/>
  <c r="O2" i="2" s="1"/>
  <c r="C4" i="2"/>
  <c r="C3" i="2"/>
  <c r="H12" i="2" l="1"/>
  <c r="C11" i="2"/>
  <c r="C12" i="2" s="1"/>
  <c r="C13" i="2" s="1"/>
  <c r="C14" i="2" s="1"/>
  <c r="C15" i="2" s="1"/>
</calcChain>
</file>

<file path=xl/sharedStrings.xml><?xml version="1.0" encoding="utf-8"?>
<sst xmlns="http://schemas.openxmlformats.org/spreadsheetml/2006/main" count="44" uniqueCount="38">
  <si>
    <t>Prime Number Checker</t>
  </si>
  <si>
    <t xml:space="preserve">• </t>
  </si>
  <si>
    <t>Write a program that asks the user for a number and checks if it is a prime number.</t>
  </si>
  <si>
    <t>Multiplication Table Generator</t>
  </si>
  <si>
    <t>Ask the user for a number and print its multiplication table up to 10.</t>
  </si>
  <si>
    <t>Factorial Calculator</t>
  </si>
  <si>
    <t>Create a program that calculates the factorial of a number entered by the user.</t>
  </si>
  <si>
    <t>Guess the Number Game</t>
  </si>
  <si>
    <t>The computer randomly picks a number between 1 and 50. The user has to guess it, and the program tells them if their guess is too high or too low.</t>
  </si>
  <si>
    <t>Sum of Digits</t>
  </si>
  <si>
    <t>Ask the user for a number and calculate the sum of its digits. For example, if the user enters 123, the program should return 6.</t>
  </si>
  <si>
    <t xml:space="preserve">Constants </t>
  </si>
  <si>
    <t>Variables</t>
  </si>
  <si>
    <t>Process/func</t>
  </si>
  <si>
    <t>Volts</t>
  </si>
  <si>
    <t>S1</t>
  </si>
  <si>
    <t>S2</t>
  </si>
  <si>
    <t>CostS1</t>
  </si>
  <si>
    <t>CostS2</t>
  </si>
  <si>
    <t>company costs Sheet'</t>
  </si>
  <si>
    <t>NoOfDev</t>
  </si>
  <si>
    <t>D1</t>
  </si>
  <si>
    <t>D2</t>
  </si>
  <si>
    <t>D3</t>
  </si>
  <si>
    <t>Resistence</t>
  </si>
  <si>
    <t>D4</t>
  </si>
  <si>
    <t>Tcost</t>
  </si>
  <si>
    <t>Principle</t>
  </si>
  <si>
    <t>Interest</t>
  </si>
  <si>
    <t>LoanROI%</t>
  </si>
  <si>
    <t>FinalCost</t>
  </si>
  <si>
    <t>TWatt</t>
  </si>
  <si>
    <t>House Devices</t>
  </si>
  <si>
    <t xml:space="preserve"> current</t>
  </si>
  <si>
    <t>watts</t>
  </si>
  <si>
    <t>&lt;2000</t>
  </si>
  <si>
    <t>&gt;2000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</si>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</sst>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b/>
      <i/>
      <sz val="11"/>
      <color rgb="FF00206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1" fillId="3" borderId="0" xfId="0" applyFont="1" applyFill="1"/>
    <xf numFmtId="0" fontId="0" fillId="3" borderId="0" xfId="0" applyFill="1"/>
    <xf numFmtId="0" fontId="4" fillId="0" borderId="0" xfId="0" applyFont="1"/>
    <xf numFmtId="0" fontId="5" fillId="4" borderId="0" xfId="0" applyFont="1" applyFill="1"/>
    <xf numFmtId="44" fontId="0" fillId="0" borderId="0" xfId="0" applyNumberFormat="1"/>
    <xf numFmtId="0" fontId="3" fillId="5" borderId="0" xfId="0" applyFont="1" applyFill="1"/>
    <xf numFmtId="0" fontId="0" fillId="5" borderId="0" xfId="0" applyFill="1"/>
    <xf numFmtId="44" fontId="0" fillId="5" borderId="0" xfId="1" applyFont="1" applyFill="1"/>
    <xf numFmtId="0" fontId="6" fillId="0" borderId="0" xfId="0" applyFont="1"/>
    <xf numFmtId="44" fontId="6" fillId="0" borderId="0" xfId="0" applyNumberFormat="1" applyFont="1"/>
    <xf numFmtId="1" fontId="0" fillId="6" borderId="0" xfId="0" applyNumberFormat="1" applyFill="1" applyAlignment="1">
      <alignment horizontal="center"/>
    </xf>
    <xf numFmtId="0" fontId="0" fillId="0" borderId="1" xfId="0" applyBorder="1"/>
    <xf numFmtId="0" fontId="4" fillId="0" borderId="0" xfId="0" applyFont="1" applyAlignment="1">
      <alignment horizontal="center"/>
    </xf>
    <xf numFmtId="44" fontId="0" fillId="0" borderId="2" xfId="0" applyNumberFormat="1" applyBorder="1"/>
    <xf numFmtId="44" fontId="0" fillId="0" borderId="3" xfId="0" applyNumberFormat="1" applyBorder="1"/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1"/>
  <sheetViews>
    <sheetView workbookViewId="0">
      <selection activeCell="C9" sqref="C9"/>
    </sheetView>
  </sheetViews>
  <sheetFormatPr defaultRowHeight="14.5" x14ac:dyDescent="0.35"/>
  <cols>
    <col min="2" max="2" width="8.7265625" style="2"/>
    <col min="3" max="3" width="77.1796875" customWidth="1"/>
  </cols>
  <sheetData>
    <row r="2" spans="2:3" x14ac:dyDescent="0.35">
      <c r="B2" s="2">
        <v>1</v>
      </c>
      <c r="C2" s="1" t="s">
        <v>0</v>
      </c>
    </row>
    <row r="3" spans="2:3" x14ac:dyDescent="0.35">
      <c r="B3" s="2" t="s">
        <v>1</v>
      </c>
      <c r="C3" t="s">
        <v>2</v>
      </c>
    </row>
    <row r="4" spans="2:3" x14ac:dyDescent="0.35">
      <c r="B4" s="2">
        <v>2</v>
      </c>
      <c r="C4" s="3" t="s">
        <v>3</v>
      </c>
    </row>
    <row r="5" spans="2:3" x14ac:dyDescent="0.35">
      <c r="B5" s="2" t="s">
        <v>1</v>
      </c>
      <c r="C5" s="4" t="s">
        <v>4</v>
      </c>
    </row>
    <row r="6" spans="2:3" x14ac:dyDescent="0.35">
      <c r="B6" s="2">
        <v>3</v>
      </c>
      <c r="C6" s="3" t="s">
        <v>5</v>
      </c>
    </row>
    <row r="7" spans="2:3" x14ac:dyDescent="0.35">
      <c r="B7" s="2" t="s">
        <v>1</v>
      </c>
      <c r="C7" s="4" t="s">
        <v>6</v>
      </c>
    </row>
    <row r="8" spans="2:3" x14ac:dyDescent="0.35">
      <c r="B8" s="2">
        <v>4</v>
      </c>
      <c r="C8" s="1" t="s">
        <v>7</v>
      </c>
    </row>
    <row r="9" spans="2:3" x14ac:dyDescent="0.35">
      <c r="B9" s="2" t="s">
        <v>1</v>
      </c>
      <c r="C9" t="s">
        <v>8</v>
      </c>
    </row>
    <row r="10" spans="2:3" x14ac:dyDescent="0.35">
      <c r="B10" s="2">
        <v>5</v>
      </c>
      <c r="C10" s="1" t="s">
        <v>9</v>
      </c>
    </row>
    <row r="11" spans="2:3" x14ac:dyDescent="0.35">
      <c r="B11" s="2" t="s">
        <v>1</v>
      </c>
      <c r="C1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D8B02-CC8A-4BF5-B5FB-13CF9D7FF576}">
  <dimension ref="A1:O17"/>
  <sheetViews>
    <sheetView tabSelected="1" workbookViewId="0">
      <selection activeCell="G12" sqref="G12:G13"/>
    </sheetView>
  </sheetViews>
  <sheetFormatPr defaultRowHeight="14.5" x14ac:dyDescent="0.35"/>
  <cols>
    <col min="1" max="1" width="12.1796875" style="5" customWidth="1"/>
    <col min="2" max="2" width="10.08984375" style="5" bestFit="1" customWidth="1"/>
    <col min="3" max="3" width="17.6328125" customWidth="1"/>
    <col min="4" max="4" width="13.54296875" customWidth="1"/>
    <col min="8" max="8" width="11.08984375" bestFit="1" customWidth="1"/>
    <col min="9" max="9" width="13.6328125" bestFit="1" customWidth="1"/>
    <col min="12" max="12" width="14.6328125" style="2" customWidth="1"/>
    <col min="13" max="13" width="12.26953125" style="2" customWidth="1"/>
    <col min="14" max="14" width="14.453125" style="2" customWidth="1"/>
    <col min="15" max="15" width="8.7265625" style="2"/>
  </cols>
  <sheetData>
    <row r="1" spans="1:15" x14ac:dyDescent="0.35">
      <c r="A1" s="6" t="s">
        <v>11</v>
      </c>
      <c r="G1" s="8" t="s">
        <v>19</v>
      </c>
      <c r="H1" s="8"/>
      <c r="I1" s="9"/>
      <c r="L1" s="15" t="s">
        <v>32</v>
      </c>
      <c r="M1" s="15" t="s">
        <v>24</v>
      </c>
      <c r="N1" s="15" t="s">
        <v>33</v>
      </c>
      <c r="O1" s="15" t="s">
        <v>34</v>
      </c>
    </row>
    <row r="2" spans="1:15" x14ac:dyDescent="0.35">
      <c r="B2" s="5" t="s">
        <v>14</v>
      </c>
      <c r="C2" s="11">
        <v>240</v>
      </c>
      <c r="G2" s="9" t="s">
        <v>15</v>
      </c>
      <c r="H2" s="9" t="s">
        <v>35</v>
      </c>
      <c r="I2" s="10">
        <v>1</v>
      </c>
      <c r="L2" s="18" t="s">
        <v>21</v>
      </c>
      <c r="M2" s="13">
        <v>2000</v>
      </c>
      <c r="N2" s="19">
        <f>$C$2/M2</f>
        <v>0.12</v>
      </c>
      <c r="O2" s="20">
        <f>$C$2*N2</f>
        <v>28.799999999999997</v>
      </c>
    </row>
    <row r="3" spans="1:15" x14ac:dyDescent="0.35">
      <c r="B3" s="5" t="s">
        <v>17</v>
      </c>
      <c r="C3" s="12">
        <f>Calc!I2</f>
        <v>1</v>
      </c>
      <c r="G3" s="9" t="s">
        <v>16</v>
      </c>
      <c r="H3" s="9" t="s">
        <v>36</v>
      </c>
      <c r="I3" s="10">
        <v>2</v>
      </c>
      <c r="L3" s="18" t="s">
        <v>22</v>
      </c>
      <c r="M3" s="13">
        <v>3000</v>
      </c>
      <c r="N3" s="19">
        <f t="shared" ref="N3:N5" si="0">$C$2/M3</f>
        <v>0.08</v>
      </c>
      <c r="O3" s="20">
        <f t="shared" ref="O3:O5" si="1">$C$2*N3</f>
        <v>19.2</v>
      </c>
    </row>
    <row r="4" spans="1:15" x14ac:dyDescent="0.35">
      <c r="B4" s="5" t="s">
        <v>18</v>
      </c>
      <c r="C4" s="12">
        <f>Calc!I3</f>
        <v>2</v>
      </c>
      <c r="G4" s="9"/>
      <c r="H4" s="9"/>
      <c r="I4" s="9"/>
      <c r="L4" s="18" t="s">
        <v>23</v>
      </c>
      <c r="M4" s="13">
        <v>4000</v>
      </c>
      <c r="N4" s="19">
        <f t="shared" si="0"/>
        <v>0.06</v>
      </c>
      <c r="O4" s="20">
        <f t="shared" si="1"/>
        <v>14.399999999999999</v>
      </c>
    </row>
    <row r="5" spans="1:15" x14ac:dyDescent="0.35">
      <c r="B5" s="5" t="s">
        <v>29</v>
      </c>
      <c r="C5" s="11">
        <v>10</v>
      </c>
      <c r="G5" s="9"/>
      <c r="H5" s="9"/>
      <c r="I5" s="9"/>
      <c r="L5" s="18" t="s">
        <v>25</v>
      </c>
      <c r="M5" s="13">
        <v>5000</v>
      </c>
      <c r="N5" s="19">
        <f t="shared" si="0"/>
        <v>4.8000000000000001E-2</v>
      </c>
      <c r="O5" s="20">
        <f t="shared" si="1"/>
        <v>11.52</v>
      </c>
    </row>
    <row r="6" spans="1:15" x14ac:dyDescent="0.35">
      <c r="B6" s="5" t="s">
        <v>20</v>
      </c>
      <c r="C6">
        <v>4</v>
      </c>
      <c r="G6" s="9"/>
      <c r="H6" s="9"/>
      <c r="I6" s="9"/>
    </row>
    <row r="7" spans="1:15" x14ac:dyDescent="0.35">
      <c r="G7" s="9"/>
      <c r="H7" s="9"/>
      <c r="I7" s="9"/>
    </row>
    <row r="8" spans="1:15" x14ac:dyDescent="0.35">
      <c r="G8" s="9"/>
      <c r="H8" s="9"/>
      <c r="I8" s="9"/>
    </row>
    <row r="10" spans="1:15" ht="15" thickBot="1" x14ac:dyDescent="0.4">
      <c r="A10" s="6" t="s">
        <v>12</v>
      </c>
      <c r="G10" t="s">
        <v>37</v>
      </c>
      <c r="H10" t="b">
        <f>C11&gt;G12</f>
        <v>0</v>
      </c>
    </row>
    <row r="11" spans="1:15" x14ac:dyDescent="0.35">
      <c r="B11" s="5" t="s">
        <v>31</v>
      </c>
      <c r="C11" s="14">
        <f>SUM(O2:O5)</f>
        <v>73.92</v>
      </c>
    </row>
    <row r="12" spans="1:15" x14ac:dyDescent="0.35">
      <c r="B12" s="5" t="s">
        <v>26</v>
      </c>
      <c r="C12" s="16">
        <f>SUM(I12:I13)</f>
        <v>-1852.1599999999999</v>
      </c>
      <c r="F12" s="2" t="s">
        <v>15</v>
      </c>
      <c r="G12" s="2">
        <v>2000</v>
      </c>
      <c r="H12">
        <f>IF(H10,G12*I2,C11*I2)</f>
        <v>73.92</v>
      </c>
      <c r="I12" s="7">
        <f>G12*I2</f>
        <v>2000</v>
      </c>
    </row>
    <row r="13" spans="1:15" x14ac:dyDescent="0.35">
      <c r="B13" s="5" t="s">
        <v>27</v>
      </c>
      <c r="C13" s="16">
        <f>C12</f>
        <v>-1852.1599999999999</v>
      </c>
      <c r="F13" s="2" t="s">
        <v>16</v>
      </c>
      <c r="G13" s="2">
        <f>C11-2000</f>
        <v>-1926.08</v>
      </c>
      <c r="H13">
        <f>IF(H10,C11-2000,0)</f>
        <v>0</v>
      </c>
      <c r="I13" s="7">
        <f>G13*I3</f>
        <v>-3852.16</v>
      </c>
    </row>
    <row r="14" spans="1:15" x14ac:dyDescent="0.35">
      <c r="B14" s="5" t="s">
        <v>28</v>
      </c>
      <c r="C14" s="16">
        <f>C13*C5/100</f>
        <v>-185.21599999999998</v>
      </c>
    </row>
    <row r="15" spans="1:15" ht="15" thickBot="1" x14ac:dyDescent="0.4">
      <c r="B15" s="5" t="s">
        <v>30</v>
      </c>
      <c r="C15" s="17">
        <f>SUM(C13:C14)</f>
        <v>-2037.3759999999997</v>
      </c>
    </row>
    <row r="17" spans="1:1" x14ac:dyDescent="0.35">
      <c r="A17" s="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101825</vt:lpstr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Aashvi kulshreshtha</dc:creator>
  <cp:lastModifiedBy>Aashvi kulshreshtha</cp:lastModifiedBy>
  <dcterms:created xsi:type="dcterms:W3CDTF">2015-06-05T18:17:20Z</dcterms:created>
  <dcterms:modified xsi:type="dcterms:W3CDTF">2025-11-22T21:46:59Z</dcterms:modified>
</cp:coreProperties>
</file>